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24226"/>
  <xr:revisionPtr revIDLastSave="0" documentId="8_{66959341-86A1-41A9-BEB0-41802D284156}" xr6:coauthVersionLast="47" xr6:coauthVersionMax="47" xr10:uidLastSave="{00000000-0000-0000-0000-000000000000}"/>
  <bookViews>
    <workbookView xWindow="-120" yWindow="-120" windowWidth="20730" windowHeight="11160" firstSheet="1" xr2:uid="{00000000-000D-0000-FFFF-FFFF00000000}"/>
  </bookViews>
  <sheets>
    <sheet name="Sumário" sheetId="1" r:id="rId1"/>
    <sheet name="Cenários e Casos de Teste" sheetId="2" r:id="rId2"/>
    <sheet name="Evidências" sheetId="3" r:id="rId3"/>
    <sheet name="Resultados" sheetId="4" r:id="rId4"/>
  </sheets>
  <definedNames>
    <definedName name="_xlnm._FilterDatabase" localSheetId="1" hidden="1">'Cenários e Casos de Teste'!$A$1:$J$28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B6" i="4" s="1"/>
  <c r="C6" i="4" s="1"/>
  <c r="C4" i="4" l="1"/>
  <c r="C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I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Possíveis status:
OK - o sistema se comportou conforme o resultado esperado.
NOK - o sistema não se comportou conforme o resultado esperado.
"-" - o cenário ainda não foi executado.</t>
        </r>
      </text>
    </comment>
    <comment ref="J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Exemplo de observação:
"Cenário bloqueado, aguardando configuração do servidor de e-mail" do cliente.</t>
        </r>
      </text>
    </comment>
  </commentList>
</comments>
</file>

<file path=xl/sharedStrings.xml><?xml version="1.0" encoding="utf-8"?>
<sst xmlns="http://schemas.openxmlformats.org/spreadsheetml/2006/main" count="304" uniqueCount="189">
  <si>
    <t>Sistema</t>
  </si>
  <si>
    <t>Quality — Gestão do Plano de Garantia da Qualidade</t>
  </si>
  <si>
    <t>Histórico de Revisões</t>
  </si>
  <si>
    <t>Elaborado Por</t>
  </si>
  <si>
    <t>Ronald Roderjan e equipe Quality</t>
  </si>
  <si>
    <t>Data</t>
  </si>
  <si>
    <t>Atualizado Por</t>
  </si>
  <si>
    <t>Descrição da Atualização</t>
  </si>
  <si>
    <t>Revisado Por</t>
  </si>
  <si>
    <t>A definir</t>
  </si>
  <si>
    <t>23/09/2026</t>
  </si>
  <si>
    <t>Planejamento de 27 casos de teste unitário para o ciclo de vida principal do Plano de Garantia da Qualidade.</t>
  </si>
  <si>
    <t>Data de Criação</t>
  </si>
  <si>
    <t>Executor(es) previstos para os testes</t>
  </si>
  <si>
    <t>Equipe Quality</t>
  </si>
  <si>
    <t>Cenário</t>
  </si>
  <si>
    <t>ID</t>
  </si>
  <si>
    <t>Caso de Teste</t>
  </si>
  <si>
    <t>Prioridade</t>
  </si>
  <si>
    <t>Tipo de Teste</t>
  </si>
  <si>
    <t>Passo-a-passo para execução</t>
  </si>
  <si>
    <t>Resultado esperado</t>
  </si>
  <si>
    <t>Resultado obtido</t>
  </si>
  <si>
    <t>Status</t>
  </si>
  <si>
    <t>Observação</t>
  </si>
  <si>
    <t>Criação de Plano</t>
  </si>
  <si>
    <t>Criar plano e vincular o usuário como auditor responsável</t>
  </si>
  <si>
    <t>Alta</t>
  </si>
  <si>
    <t>Unitário</t>
  </si>
  <si>
    <t>1. Na classe PlanoServiceTest, criar um método anotado com @Test chamado deveCriarPlanoComUsuarioProprietario.
2. Criar um UsuarioEntity e configurar o Authentication para retornar seu e-mail.
3. Configurar o UsuarioRepository para localizar o usuário e o PlanoRepository para atribuir um identificador ao plano salvo.
4. Configurar o ParticipacaoPlanoRepository para receber a participação criada.
5. Chamar PlanoService.criar passando a autenticação e um PlanoRequestDTO válido.
6. Capturar a participação salva e verificar dados do plano, status, papel, permissões, vínculo com o usuário e resposta retornada.</t>
  </si>
  <si>
    <t>O serviço deve localizar o usuário autenticado, remover espaços externos dos dados e salvar o plano com status PENDENTE e data de criação preenchida. Deve salvar uma participação ligada ao plano e ao usuário, atribuindo o papel AUDITOR_RESPONSAVEL_QUALIDADE. A participação deve possuir permissão EXCLUIR e não possuir TRATAR_NAO_CONFORMIDADE. A resposta deve retornar o identificador do plano e o papel atribuído ao criador.</t>
  </si>
  <si>
    <t>A preencher após a execução do caso de teste e a análise da evidência coletada.</t>
  </si>
  <si>
    <t>Não executado</t>
  </si>
  <si>
    <t>Método planejado: PlanoServiceTest#deveCriarPlanoComUsuarioProprietario.</t>
  </si>
  <si>
    <t>Rejeitar criação quando o usuário autenticado não está cadastrado</t>
  </si>
  <si>
    <t>1. Na classe PlanoServiceTest, criar um método anotado com @Test chamado naoDeveCriarPlanoSemUsuarioAutenticado.
2. Configurar o Authentication para retornar um e-mail.
3. Configurar o UsuarioRepository para retornar Optional.empty para esse e-mail.
4. Chamar PlanoService.criar dentro de assertThrows.
5. Verificar que foi lançada NotFoundException.
6. Verificar que o PlanoRepository não recebeu chamada para salvar.</t>
  </si>
  <si>
    <t>O serviço deve lançar NotFoundException ao não localizar o usuário pelo e-mail da autenticação. O repositório de planos não deve receber nenhuma chamada de gravação, evitando a criação parcial do plano.</t>
  </si>
  <si>
    <t>Método planejado: PlanoServiceTest#naoDeveCriarPlanoSemUsuarioAutenticado.</t>
  </si>
  <si>
    <t>Consulta de Planos do Usuário</t>
  </si>
  <si>
    <t>Listar somente os planos vinculados ao usuário autenticado</t>
  </si>
  <si>
    <t>Média</t>
  </si>
  <si>
    <t>1. Na classe PlanoServiceTest, criar um método anotado com @Test chamado deveListarSomentePlanosComParticipacaoDoUsuario.
2. Criar dois planos e duas participações vinculadas ao usuário.
3. Criar um PageRequest e configurar o Authentication com o e-mail do usuário.
4. Configurar ParticipacaoPlanoRepository.listarPlanosVisiveis para retornar uma página contendo as duas participações.
5. Chamar PlanoService.listar com a autenticação e a paginação.
6. Verificar quantidade, paginação, identificadores dos planos e papéis retornados.</t>
  </si>
  <si>
    <t>O serviço deve consultar as participações usando o e-mail autenticado, os papéis admitidos e a paginação recebida. A resposta deve informar dois elementos, página zero, preservar os identificadores esperados e apresentar o papel contextual do usuário em cada plano.</t>
  </si>
  <si>
    <t>Método planejado: PlanoServiceTest#deveListarSomentePlanosComParticipacaoDoUsuario.</t>
  </si>
  <si>
    <t>Consulta Detalhada do Plano</t>
  </si>
  <si>
    <t>Consultar plano apresentando papéis e permissões efetivas</t>
  </si>
  <si>
    <t>1. Na classe PlanoServiceTest, criar um método anotado com @Test chamado deveBuscarPlanoComPapeisEPermissoes.
2. Criar um plano e uma participação com o papel AUDITOR_RESPONSAVEL_QUALIDADE.
3. Configurar AcessoPlanoService.buscarParticipacao para retornar essa participação.
4. Chamar PlanoService.buscar com a autenticação e o identificador do plano.
5. Verificar o identificador retornado.
6. Verificar se a resposta contém o papel do participante e a permissão EDITAR.</t>
  </si>
  <si>
    <t>O serviço deve obter a participação pelo controle de acesso e retornar um DTO com o mesmo identificador do plano, o papel AUDITOR_RESPONSAVEL_QUALIDADE e a permissão EDITAR.</t>
  </si>
  <si>
    <t>Método planejado: PlanoServiceTest#deveBuscarPlanoComPapeisEPermissoes.</t>
  </si>
  <si>
    <t>Atualização de Plano</t>
  </si>
  <si>
    <t>Atualizar dados do plano quando o usuário possui permissão</t>
  </si>
  <si>
    <t>1. Na classe PlanoServiceTest, criar um método anotado com @Test chamado deveAtualizarPlanoComPermissao.
2. Criar um plano com dados antigos e uma participação de auditor responsável.
3. Configurar AcessoPlanoService.buscarParticipacao com a permissão EDITAR e configurar PlanoRepository.save.
4. Criar um PlanoRequestDTO com os novos dados.
5. Chamar PlanoService.atualizar.
6. Verificar os campos alterados na entidade e os dados retornados na resposta.</t>
  </si>
  <si>
    <t>O serviço deve exigir a permissão EDITAR, remover espaços externos dos dados recebidos, atualizar nome, versão, objetivo e visão geral e salvar a entidade. A resposta deve apresentar os novos dados, incluindo o nome Quality e o objetivo Garantir qualidade.</t>
  </si>
  <si>
    <t>Método planejado: PlanoServiceTest#deveAtualizarPlanoComPermissao.</t>
  </si>
  <si>
    <t>Conclusão de Plano</t>
  </si>
  <si>
    <t>Concluir plano quando o usuário possui permissão</t>
  </si>
  <si>
    <t>1. Na classe PlanoServiceTest, criar um método anotado com @Test chamado deveConcluirPlanoComPermissao.
2. Criar um plano com status PENDENTE.
3. Configurar AcessoPlanoService.buscarPlano para retornar o plano quando solicitada a permissão CONCLUIR.
4. Chamar PlanoService.concluir.
5. Verificar que o status do plano foi alterado para CONCLUIDO.
6. Verificar que o PlanoRepository salvou o plano atualizado.</t>
  </si>
  <si>
    <t>O serviço deve exigir a permissão CONCLUIR, alterar o status do plano de PENDENTE para CONCLUIDO e enviar a entidade atualizada ao repositório para persistência.</t>
  </si>
  <si>
    <t>Método planejado: PlanoServiceTest#deveConcluirPlanoComPermissao.</t>
  </si>
  <si>
    <t>Exclusão de Plano</t>
  </si>
  <si>
    <t>Excluir plano quando o usuário possui permissão</t>
  </si>
  <si>
    <t>1. Na classe PlanoServiceTest, criar um método anotado com @Test chamado deveExcluirPlanoComPermissao.
2. Criar um plano com identificador preenchido.
3. Configurar AcessoPlanoService.buscarPlano para retornar o plano quando solicitada a permissão EXCLUIR.
4. Chamar PlanoService.excluir.
5. Capturar o identificador usado na exclusão.
6. Verificar que PlanoRepository.excluirComDependencias foi chamado com o identificador correto.</t>
  </si>
  <si>
    <t>O serviço deve exigir a permissão EXCLUIR e chamar exatamente a operação excluirComDependencias com o identificador do plano autorizado.</t>
  </si>
  <si>
    <t>Método planejado: PlanoServiceTest#deveExcluirPlanoComPermissao.</t>
  </si>
  <si>
    <t>Consulta da Participação no Plano</t>
  </si>
  <si>
    <t>Retornar a participação do usuário no plano</t>
  </si>
  <si>
    <t>1. Na classe AcessoPlanoServiceTest, criar um método anotado com @Test chamado deveRetornarParticipacaoDoUsuario.
2. Criar uma participação com plano, identificador e papel SUPERIOR_N1.
3. Configurar o Authentication para retornar o e-mail do usuário.
4. Configurar ParticipacaoPlanoRepository.findByPlanoIdAndUsuarioEmailIgnoreCase para retornar a participação.
5. Chamar AcessoPlanoService.buscarParticipacao.
6. Verificar que foi retornada a mesma participação configurada no repositório.</t>
  </si>
  <si>
    <t>O serviço deve consultar a participação pelo identificador do plano e pelo e-mail autenticado e retornar a mesma participação encontrada no repositório.</t>
  </si>
  <si>
    <t>Método planejado: AcessoPlanoServiceTest#deveRetornarParticipacaoDoUsuario.</t>
  </si>
  <si>
    <t>Controle de Acesso ao Plano</t>
  </si>
  <si>
    <t>Não expor plano a usuário sem participação</t>
  </si>
  <si>
    <t>1. Na classe AcessoPlanoServiceTest, criar um método anotado com @Test chamado naoDeveExporPlanoSemParticipacao.
2. Criar um identificador de plano e configurar o Authentication com um e-mail.
3. Configurar ParticipacaoPlanoRepository para retornar Optional.empty.
4. Chamar AcessoPlanoService.buscarPlano dentro de assertThrows.
5. Verificar que foi lançada NotFoundException.
6. Confirmar que nenhum plano foi retornado ao usuário sem participação.</t>
  </si>
  <si>
    <t>Quando não existir participação para o plano e o e-mail autenticado, o serviço deve lançar NotFoundException com comportamento de recurso não encontrado, sem retornar a entidade do plano.</t>
  </si>
  <si>
    <t>Método planejado: AcessoPlanoServiceTest#naoDeveExporPlanoSemParticipacao.</t>
  </si>
  <si>
    <t>Autorização de Operação no Plano</t>
  </si>
  <si>
    <t>Permitir operação autorizada pelo papel contextual</t>
  </si>
  <si>
    <t>1. Na classe AcessoPlanoServiceTest, criar um método anotado com @Test chamado devePermitirOperacaoAutorizadaPeloPapel.
2. Criar uma participação com o papel AUDITOR_RESPONSAVEL_QUALIDADE.
3. Configurar Authentication e ParticipacaoPlanoRepository para localizar essa participação.
4. Chamar AcessoPlanoService.buscarPlano solicitando a permissão EDITAR.
5. Armazenar o plano retornado.
6. Verificar que a mesma instância do plano da participação foi retornada.</t>
  </si>
  <si>
    <t>Para uma participação com papel AUDITOR_RESPONSAVEL_QUALIDADE e permissão EDITAR, o serviço deve autorizar a operação e retornar exatamente o plano associado à participação.</t>
  </si>
  <si>
    <t>Método planejado: AcessoPlanoServiceTest#devePermitirOperacaoAutorizadaPeloPapel.</t>
  </si>
  <si>
    <t>Negar operação sem permissão contextual</t>
  </si>
  <si>
    <t>1. Na classe AcessoPlanoServiceTest, criar um método anotado com @Test chamado deveNegarOperacaoSemPermissaoContextual.
2. Criar uma participação com o papel MEMBRO_EQUIPE_RESOLUCAO.
3. Configurar Authentication e ParticipacaoPlanoRepository para localizar essa participação.
4. Chamar AcessoPlanoService.buscarPlano solicitando a permissão EDITAR dentro de assertThrows.
5. Verificar que foi lançada AccessDeniedException.
6. Confirmar que o participante não recebeu acesso ao plano.</t>
  </si>
  <si>
    <t>Para uma participação com papel MEMBRO_EQUIPE_RESOLUCAO sem permissão EDITAR, o serviço deve lançar AccessDeniedException e não retornar o plano para a operação solicitada.</t>
  </si>
  <si>
    <t>Método planejado: AcessoPlanoServiceTest#deveNegarOperacaoSemPermissaoContextual.</t>
  </si>
  <si>
    <t>Criação de Plano com Classificações</t>
  </si>
  <si>
    <t>Criar plano com as classificações padrão de não conformidade</t>
  </si>
  <si>
    <t>1. Na classe PlanoServiceTest, criar um método anotado com @Test chamado deveCriarPlanoComClassificacoesPadrao.
2. Configurar usuário autenticado, consulta do usuário e salvamento do plano.
3. Chamar PlanoService.criar com um PlanoRequestDTO válido.
4. Capturar o PlanoEntity recebido por PlanoRepository.save.
5. Transformar as configurações de classificação em um mapa de classificação e prazo.
6. Verificar as quatro classificações, seus prazos, o estado ativo e o vínculo de cada configuração com o plano.</t>
  </si>
  <si>
    <t>O plano deve ser salvo com quatro configurações ativas vinculadas a ele. Os prazos padrão devem ser: SIMPLES com 24 horas, COMPLEXA com 48 horas, SEVERA com 72 horas e EXTREMA com 96 horas.</t>
  </si>
  <si>
    <t>Método planejado: PlanoServiceTest#deveCriarPlanoComClassificacoesPadrao.</t>
  </si>
  <si>
    <t>Criação de Plano com Imagem</t>
  </si>
  <si>
    <t>Criar plano com uma imagem válida</t>
  </si>
  <si>
    <t>1. Na classe PlanoServiceTest, criar um método anotado com @Test chamado deveCriarPlanoComImagemValida.
2. Criar um usuário autenticado e um MockMultipartFile contendo uma imagem PNG válida.
3. Configurar os repositórios para localizar o usuário, salvar o plano e informar que ainda não existe imagem.
4. Chamar PlanoService.criar passando DTO e imagem.
5. Capturar o PlanoImagemEntity enviado ao repositório.
6. Verificar tipo, conteúdo, vínculo com o plano e o indicador temImagem na entidade e na resposta.</t>
  </si>
  <si>
    <t>O serviço deve aceitar a imagem PNG válida, persistir o tipo image/png e os mesmos bytes recebidos, vincular a imagem ao plano e retornar o indicador temImagem como verdadeiro.</t>
  </si>
  <si>
    <t>Método planejado: PlanoServiceTest#deveCriarPlanoComImagemValida.</t>
  </si>
  <si>
    <t>Listar planos quando o usuário não possui participações</t>
  </si>
  <si>
    <t>1. Na classe PlanoServiceTest, criar um método anotado com @Test chamado deveListarPaginaVazia.
2. Criar um PageRequest para a primeira página.
3. Configurar o Authentication com o e-mail do usuário.
4. Configurar ParticipacaoPlanoRepository.listarPlanosVisiveis para retornar Page.empty.
5. Chamar PlanoService.listar.
6. Verificar conteúdo vazio, totais iguais a zero e indicadores primeira e última iguais a verdadeiro.</t>
  </si>
  <si>
    <t>A consulta deve retornar conteúdo vazio, zero elementos, zero páginas e os indicadores primeira e última como verdadeiros, sem lançar exceção.</t>
  </si>
  <si>
    <t>Método planejado: PlanoServiceTest#deveListarPaginaVazia.</t>
  </si>
  <si>
    <t>Atualização de Plano com Imagem</t>
  </si>
  <si>
    <t>Rejeitar atualização com envio e remoção de imagem simultâneos</t>
  </si>
  <si>
    <t>1. Na classe PlanoServiceTest, criar um método anotado com @Test chamado naoDeveAtualizarComImagemERemocaoSimultaneas.
2. Criar plano, participação autorizada e um MultipartFile simulado.
3. Configurar AcessoPlanoService.buscarParticipacao com a permissão EDITAR.
4. Chamar PlanoService.atualizar passando a imagem e removerImagem igual a verdadeiro dentro de assertThrows.
5. Verificar que foi lançada InvalidRequestException.
6. Verificar que plano e imagem não foram salvos.</t>
  </si>
  <si>
    <t>O serviço deve lançar InvalidRequestException porque as duas operações são incompatíveis. O plano e a imagem não devem ser persistidos.</t>
  </si>
  <si>
    <t>Método planejado: PlanoServiceTest#naoDeveAtualizarComImagemERemocaoSimultaneas.</t>
  </si>
  <si>
    <t>Validação de Imagem do Plano</t>
  </si>
  <si>
    <t>Rejeitar arquivo de imagem vazio</t>
  </si>
  <si>
    <t>1. Na classe PlanoServiceTest, criar um método anotado com @Test chamado naoDeveAceitarImagemVazia.
2. Criar um plano e um MockMultipartFile de tamanho zero com tipo image/png.
3. Configurar AcessoPlanoService.buscarPlano com a permissão EDITAR.
4. Chamar PlanoService.salvarImagem dentro de assertThrows.
5. Verificar que foi lançada InvalidRequestException.
6. Verificar que PlanoImagemRepository.save não foi chamado.</t>
  </si>
  <si>
    <t>O serviço deve lançar InvalidRequestException ao receber um arquivo sem conteúdo e não deve salvar qualquer registro de imagem.</t>
  </si>
  <si>
    <t>Método planejado: PlanoServiceTest#naoDeveAceitarImagemVazia.</t>
  </si>
  <si>
    <t>Rejeitar tipo de arquivo não permitido como imagem do plano</t>
  </si>
  <si>
    <t>1. Na classe PlanoServiceTest, criar um método anotado com @Test chamado naoDeveAceitarTipoDeImagemInvalido.
2. Criar um plano e um MockMultipartFile com tipo text/plain.
3. Configurar AcessoPlanoService.buscarPlano com a permissão EDITAR.
4. Chamar PlanoService.salvarImagem dentro de assertThrows.
5. Verificar que foi lançada InvalidRequestException.
6. Verificar que nenhuma imagem foi salva.</t>
  </si>
  <si>
    <t>O serviço deve lançar InvalidRequestException para o tipo text/plain e não deve salvar qualquer registro de imagem.</t>
  </si>
  <si>
    <t>Método planejado: PlanoServiceTest#naoDeveAceitarTipoDeImagemInvalido.</t>
  </si>
  <si>
    <t>Rejeitar imagem acima do limite de cinco megabytes</t>
  </si>
  <si>
    <t>1. Na classe PlanoServiceTest, criar um método anotado com @Test chamado naoDeveAceitarImagemAcimaDeCincoMegabytes.
2. Criar um plano e simular um MultipartFile não vazio do tipo image/png.
3. Configurar o tamanho do arquivo como 5 MB mais um byte.
4. Configurar AcessoPlanoService.buscarPlano com a permissão EDITAR e chamar salvarImagem dentro de assertThrows.
5. Verificar que foi lançada InvalidRequestException.
6. Verificar que PlanoImagemRepository.save não foi chamado.</t>
  </si>
  <si>
    <t>O serviço deve lançar InvalidRequestException quando o tamanho ultrapassar 5 MB, mesmo que o tipo declarado seja image/png, e não deve persistir a imagem.</t>
  </si>
  <si>
    <t>Método planejado: PlanoServiceTest#naoDeveAceitarImagemAcimaDeCincoMegabytes.</t>
  </si>
  <si>
    <t>Rejeitar conteúdo inválido declarado como imagem</t>
  </si>
  <si>
    <t>1. Na classe PlanoServiceTest, criar um método anotado com @Test chamado naoDeveAceitarConteudoQueNaoSejaImagem.
2. Criar um plano e um MockMultipartFile declarado como image/png, mas preenchido com texto.
3. Configurar AcessoPlanoService.buscarPlano com a permissão EDITAR.
4. Chamar PlanoService.salvarImagem dentro de assertThrows.
5. Verificar que a validação do conteúdo lançou InvalidRequestException.
6. Verificar que nenhuma imagem foi persistida.</t>
  </si>
  <si>
    <t>O serviço deve validar o conteúdo real do arquivo, lançar InvalidRequestException para bytes que não formam uma imagem e impedir a persistência.</t>
  </si>
  <si>
    <t>Método planejado: PlanoServiceTest#naoDeveAceitarConteudoQueNaoSejaImagem.</t>
  </si>
  <si>
    <t>Consulta de Imagem do Plano</t>
  </si>
  <si>
    <t>Consultar a imagem vinculada ao plano</t>
  </si>
  <si>
    <t>1. Na classe PlanoServiceTest, criar um método anotado com @Test chamado deveBuscarImagemDoPlano.
2. Criar um plano e uma PlanoImagemEntity com tipo image/png e bytes conhecidos.
3. Configurar AcessoPlanoService.buscarPlano com a permissão VISUALIZAR.
4. Configurar PlanoImagemRepository.findById para retornar a imagem.
5. Chamar PlanoService.buscarImagem.
6. Verificar o tipo de conteúdo e comparar os bytes retornados com os bytes armazenados.</t>
  </si>
  <si>
    <t>Após validar a permissão VISUALIZAR, o serviço deve retornar o tipo image/png e exatamente os mesmos bytes armazenados para a imagem do plano.</t>
  </si>
  <si>
    <t>Método planejado: PlanoServiceTest#deveBuscarImagemDoPlano.</t>
  </si>
  <si>
    <t>Informar que a imagem consultada não existe</t>
  </si>
  <si>
    <t>1. Na classe PlanoServiceTest, criar um método anotado com @Test chamado naoDeveBuscarImagemInexistente.
2. Criar um plano com identificador preenchido.
3. Configurar AcessoPlanoService.buscarPlano com a permissão VISUALIZAR.
4. Configurar PlanoImagemRepository.findById para retornar Optional.empty.
5. Chamar PlanoService.buscarImagem dentro de assertThrows.
6. Verificar que foi lançada NotFoundException.</t>
  </si>
  <si>
    <t>Após validar a permissão VISUALIZAR, o serviço deve lançar NotFoundException quando não existir imagem vinculada ao identificador do plano.</t>
  </si>
  <si>
    <t>Método planejado: PlanoServiceTest#naoDeveBuscarImagemInexistente.</t>
  </si>
  <si>
    <t>Atualização de Imagem do Plano</t>
  </si>
  <si>
    <t>Substituir a imagem existente do plano</t>
  </si>
  <si>
    <t>1. Na classe PlanoServiceTest, criar um método anotado com @Test chamado deveSubstituirImagemExistente.
2. Criar um plano, uma imagem JPEG já armazenada e uma nova imagem PNG válida.
3. Configurar a permissão EDITAR e o repositório para retornar a imagem existente.
4. Chamar PlanoService.salvarImagem com a nova imagem.
5. Capturar a entidade enviada para PlanoImagemRepository.save.
6. Verificar que a entidade existente foi reutilizada, teve tipo e bytes substituídos e manteve o plano com temImagem verdadeiro.</t>
  </si>
  <si>
    <t>O serviço deve reutilizar o registro de imagem já existente, atualizar o tipo para image/png e substituir os bytes pelo novo conteúdo. O plano deve permanecer marcado com temImagem igual a verdadeiro.</t>
  </si>
  <si>
    <t>Método planejado: PlanoServiceTest#deveSubstituirImagemExistente.</t>
  </si>
  <si>
    <t>Remoção de Imagem do Plano</t>
  </si>
  <si>
    <t>Remover a imagem vinculada ao plano</t>
  </si>
  <si>
    <t>1. Na classe PlanoServiceTest, criar um método anotado com @Test chamado deveRemoverImagemDoPlano.
2. Criar um plano com temImagem igual a verdadeiro.
3. Configurar AcessoPlanoService.buscarPlano com a permissão EDITAR.
4. Chamar PlanoService.removerImagem.
5. Verificar a exclusão da imagem pelo identificador do plano e o salvamento do plano.
6. Verificar que temImagem foi alterado para falso.</t>
  </si>
  <si>
    <t>O serviço deve excluir a imagem pelo identificador do plano, alterar temImagem para falso e persistir a atualização do plano.</t>
  </si>
  <si>
    <t>Método planejado: PlanoServiceTest#deveRemoverImagemDoPlano.</t>
  </si>
  <si>
    <t>Permitir consulta do plano a participante com permissão de visualização</t>
  </si>
  <si>
    <t>1. Na classe AcessoPlanoServiceTest, criar um método anotado com @Test chamado deveBuscarPlanoComPermissaoVisualizar.
2. Criar uma participação com o papel SUPERIOR_N1 e um plano associado.
3. Configurar Authentication e ParticipacaoPlanoRepository para localizar a participação.
4. Chamar AcessoPlanoService.buscarPlano sem informar uma permissão adicional.
5. Armazenar o plano retornado.
6. Verificar que a permissão VISUALIZAR foi aceita e que a mesma instância do plano foi retornada.</t>
  </si>
  <si>
    <t>O serviço deve localizar a participação do superior N1, reconhecer a permissão VISUALIZAR e retornar a mesma instância do plano vinculada à participação.</t>
  </si>
  <si>
    <t>Método planejado: AcessoPlanoServiceTest#deveBuscarPlanoComPermissaoVisualizar.</t>
  </si>
  <si>
    <t>Negar visualização do plano a participante sem a permissão necessária</t>
  </si>
  <si>
    <t>1. Na classe AcessoPlanoServiceTest, criar um método anotado com @Test chamado deveNegarVisualizacaoSemPermissao.
2. Criar uma participação com o papel MEMBRO_EQUIPE_RESOLUCAO.
3. Configurar Authentication e ParticipacaoPlanoRepository para localizar a participação.
4. Chamar AcessoPlanoService.buscarPlano dentro de assertThrows.
5. Verificar que foi lançada AccessDeniedException.
6. Confirmar que o plano não foi disponibilizado ao participante.</t>
  </si>
  <si>
    <t>O serviço deve localizar a participação do membro da equipe de resolução e lançar AccessDeniedException porque esse papel não possui permissão para visualizar o plano.</t>
  </si>
  <si>
    <t>Método planejado: AcessoPlanoServiceTest#deveNegarVisualizacaoSemPermissao.</t>
  </si>
  <si>
    <t>Validação dos Dados do Plano</t>
  </si>
  <si>
    <t>Rejeitar os campos obrigatórios vazios na solicitação do plano</t>
  </si>
  <si>
    <t>1. Na classe PlanoRequestDTOTest, configurar um Validator do Jakarta Validation para os testes.
2. Criar um método anotado com @Test chamado deveRejeitarCamposObrigatoriosVazios.
3. Instanciar PlanoRequestDTO usando espaços, texto vazio e valor nulo nos campos obrigatórios.
4. Executar validator.validate sobre o DTO.
5. Extrair o nome do campo de cada ConstraintViolation.
6. Verificar que nomeProjeto, versao, objetivo e visaoGeral possuem violações.</t>
  </si>
  <si>
    <t>A validação deve identificar violações nos quatro campos obrigatórios: nomeProjeto, versao, objetivo e visaoGeral.</t>
  </si>
  <si>
    <t>Método planejado: PlanoRequestDTOTest#deveRejeitarCamposObrigatoriosVazios.</t>
  </si>
  <si>
    <t>Rejeitar campos que ultrapassam os limites de tamanho</t>
  </si>
  <si>
    <t>1. Na classe PlanoRequestDTOTest, utilizar o Validator configurado para os testes.
2. Criar um método anotado com @Test chamado deveRejeitarCamposAcimaDoLimite.
3. Instanciar PlanoRequestDTO com valores maiores que os limites definidos para os quatro campos.
4. Executar validator.validate sobre o DTO.
5. Extrair o nome do campo de cada ConstraintViolation.
6. Verificar que nomeProjeto, versao, objetivo e visaoGeral possuem violações de tamanho.</t>
  </si>
  <si>
    <t>A validação deve identificar violações em nomeProjeto acima de 150 caracteres, versao acima de 30, objetivo acima de 2.000 e visaoGeral acima de 5.000 caracteres.</t>
  </si>
  <si>
    <t>Método planejado: PlanoRequestDTOTest#deveRejeitarCamposAcimaDoLimite.</t>
  </si>
  <si>
    <t>Evidências planejadas — Testes Unitários do Plano de Garantia da Qualidade</t>
  </si>
  <si>
    <t>Aba reservada para a etapa de execução. Cada seção deverá receber a evidência do respectivo caso somente depois que o teste for executado.</t>
  </si>
  <si>
    <t>Evidência planejada — Caso de teste 1 — PlanoServiceTest#deveCriarPlanoComUsuarioProprietario
Espaço reservado para a captura do resultado, a ser inserida durante a etapa de execução.</t>
  </si>
  <si>
    <t>Evidência planejada — Caso de teste 2 — PlanoServiceTest#naoDeveCriarPlanoSemUsuarioAutenticado
Espaço reservado para a captura do resultado, a ser inserida durante a etapa de execução.</t>
  </si>
  <si>
    <t>Evidência planejada — Caso de teste 3 — PlanoServiceTest#deveListarSomentePlanosComParticipacaoDoUsuario
Espaço reservado para a captura do resultado, a ser inserida durante a etapa de execução.</t>
  </si>
  <si>
    <t>Evidência planejada — Caso de teste 4 — PlanoServiceTest#deveBuscarPlanoComPapeisEPermissoes
Espaço reservado para a captura do resultado, a ser inserida durante a etapa de execução.</t>
  </si>
  <si>
    <t>Evidência planejada — Caso de teste 5 — PlanoServiceTest#deveAtualizarPlanoComPermissao
Espaço reservado para a captura do resultado, a ser inserida durante a etapa de execução.</t>
  </si>
  <si>
    <t>Evidência planejada — Caso de teste 6 — PlanoServiceTest#deveConcluirPlanoComPermissao
Espaço reservado para a captura do resultado, a ser inserida durante a etapa de execução.</t>
  </si>
  <si>
    <t>Evidência planejada — Caso de teste 7 — PlanoServiceTest#deveExcluirPlanoComPermissao
Espaço reservado para a captura do resultado, a ser inserida durante a etapa de execução.</t>
  </si>
  <si>
    <t>Evidência planejada — Caso de teste 8 — AcessoPlanoServiceTest#deveRetornarParticipacaoDoUsuario
Espaço reservado para a captura do resultado, a ser inserida durante a etapa de execução.</t>
  </si>
  <si>
    <t>Evidência planejada — Caso de teste 9 — AcessoPlanoServiceTest#naoDeveExporPlanoSemParticipacao
Espaço reservado para a captura do resultado, a ser inserida durante a etapa de execução.</t>
  </si>
  <si>
    <t>Evidência planejada — Caso de teste 10 — AcessoPlanoServiceTest#devePermitirOperacaoAutorizadaPeloPapel
Espaço reservado para a captura do resultado, a ser inserida durante a etapa de execução.</t>
  </si>
  <si>
    <t>Evidência planejada — Caso de teste 11 — AcessoPlanoServiceTest#deveNegarOperacaoSemPermissaoContextual
Espaço reservado para a captura do resultado, a ser inserida durante a etapa de execução.</t>
  </si>
  <si>
    <t>Evidência planejada — Caso de teste 12 — PlanoServiceTest#deveCriarPlanoComClassificacoesPadrao
Espaço reservado para a captura do resultado, a ser inserida durante a etapa de execução.</t>
  </si>
  <si>
    <t>Evidência planejada — Caso de teste 13 — PlanoServiceTest#deveCriarPlanoComImagemValida
Espaço reservado para a captura do resultado, a ser inserida durante a etapa de execução.</t>
  </si>
  <si>
    <t>Evidência planejada — Caso de teste 14 — PlanoServiceTest#deveListarPaginaVazia
Espaço reservado para a captura do resultado, a ser inserida durante a etapa de execução.</t>
  </si>
  <si>
    <t>Evidência planejada — Caso de teste 15 — PlanoServiceTest#naoDeveAtualizarComImagemERemocaoSimultaneas
Espaço reservado para a captura do resultado, a ser inserida durante a etapa de execução.</t>
  </si>
  <si>
    <t>Evidência planejada — Caso de teste 16 — PlanoServiceTest#naoDeveAceitarImagemVazia
Espaço reservado para a captura do resultado, a ser inserida durante a etapa de execução.</t>
  </si>
  <si>
    <t>Evidência planejada — Caso de teste 17 — PlanoServiceTest#naoDeveAceitarTipoDeImagemInvalido
Espaço reservado para a captura do resultado, a ser inserida durante a etapa de execução.</t>
  </si>
  <si>
    <t>Evidência planejada — Caso de teste 18 — PlanoServiceTest#naoDeveAceitarImagemAcimaDeCincoMegabytes
Espaço reservado para a captura do resultado, a ser inserida durante a etapa de execução.</t>
  </si>
  <si>
    <t>Evidência planejada — Caso de teste 19 — PlanoServiceTest#naoDeveAceitarConteudoQueNaoSejaImagem
Espaço reservado para a captura do resultado, a ser inserida durante a etapa de execução.</t>
  </si>
  <si>
    <t>Evidência planejada — Caso de teste 20 — PlanoServiceTest#deveBuscarImagemDoPlano
Espaço reservado para a captura do resultado, a ser inserida durante a etapa de execução.</t>
  </si>
  <si>
    <t>Evidência planejada — Caso de teste 21 — PlanoServiceTest#naoDeveBuscarImagemInexistente
Espaço reservado para a captura do resultado, a ser inserida durante a etapa de execução.</t>
  </si>
  <si>
    <t>Evidência planejada — Caso de teste 22 — PlanoServiceTest#deveSubstituirImagemExistente
Espaço reservado para a captura do resultado, a ser inserida durante a etapa de execução.</t>
  </si>
  <si>
    <t>Evidência planejada — Caso de teste 23 — PlanoServiceTest#deveRemoverImagemDoPlano
Espaço reservado para a captura do resultado, a ser inserida durante a etapa de execução.</t>
  </si>
  <si>
    <t>Evidência planejada — Caso de teste 24 — AcessoPlanoServiceTest#deveBuscarPlanoComPermissaoVisualizar
Espaço reservado para a captura do resultado, a ser inserida durante a etapa de execução.</t>
  </si>
  <si>
    <t>Evidência planejada — Caso de teste 25 — AcessoPlanoServiceTest#deveNegarVisualizacaoSemPermissao
Espaço reservado para a captura do resultado, a ser inserida durante a etapa de execução.</t>
  </si>
  <si>
    <t>Evidência planejada — Caso de teste 26 — PlanoRequestDTOTest#deveRejeitarCamposObrigatoriosVazios
Espaço reservado para a captura do resultado, a ser inserida durante a etapa de execução.</t>
  </si>
  <si>
    <t>Evidência planejada — Caso de teste 27 — PlanoRequestDTOTest#deveRejeitarCamposAcimaDoLimite
Espaço reservado para a captura do resultado, a ser inserida durante a etapa de execução.</t>
  </si>
  <si>
    <t>Resultados</t>
  </si>
  <si>
    <t>Total de Teste</t>
  </si>
  <si>
    <t>Testes OK</t>
  </si>
  <si>
    <t>Testes NOK</t>
  </si>
  <si>
    <t>Testes não executados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</si>
</sst>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rgb="FF1F4E78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0" fillId="2" borderId="4" xfId="0" applyFill="1" applyBorder="1"/>
    <xf numFmtId="0" fontId="0" fillId="2" borderId="6" xfId="0" applyFill="1" applyBorder="1"/>
    <xf numFmtId="0" fontId="0" fillId="2" borderId="0" xfId="0" applyFill="1" applyAlignment="1">
      <alignment horizontal="center" vertical="center"/>
    </xf>
    <xf numFmtId="0" fontId="0" fillId="2" borderId="8" xfId="0" applyFill="1" applyBorder="1"/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10" fontId="0" fillId="2" borderId="2" xfId="0" applyNumberFormat="1" applyFill="1" applyBorder="1" applyAlignment="1">
      <alignment horizontal="center" vertical="center"/>
    </xf>
    <xf numFmtId="10" fontId="0" fillId="2" borderId="4" xfId="0" applyNumberFormat="1" applyFill="1" applyBorder="1" applyAlignment="1">
      <alignment horizontal="center" vertical="center"/>
    </xf>
    <xf numFmtId="10" fontId="0" fillId="2" borderId="6" xfId="0" applyNumberFormat="1" applyFill="1" applyBorder="1" applyAlignment="1">
      <alignment horizontal="center" vertical="center"/>
    </xf>
    <xf numFmtId="0" fontId="0" fillId="2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8" xfId="0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left" vertical="center"/>
    </xf>
    <xf numFmtId="0" fontId="1" fillId="3" borderId="13" xfId="0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0" fillId="2" borderId="8" xfId="0" applyFill="1" applyBorder="1" applyAlignment="1">
      <alignment horizontal="center" vertical="top" wrapText="1"/>
    </xf>
    <xf numFmtId="0" fontId="0" fillId="2" borderId="8" xfId="0" applyFill="1" applyBorder="1" applyAlignment="1">
      <alignment horizontal="left" vertical="top" wrapText="1"/>
    </xf>
    <xf numFmtId="0" fontId="4" fillId="2" borderId="0" xfId="0" applyFont="1" applyFill="1" applyAlignment="1">
      <alignment vertical="top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2" fillId="3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0" fillId="0" borderId="15" xfId="0" applyBorder="1" applyAlignment="1"/>
    <xf numFmtId="0" fontId="0" fillId="0" borderId="16" xfId="0" applyBorder="1" applyAlignment="1"/>
    <xf numFmtId="0" fontId="0" fillId="0" borderId="11" xfId="0" applyBorder="1" applyAlignment="1"/>
    <xf numFmtId="0" fontId="0" fillId="0" borderId="10" xfId="0" applyBorder="1" applyAlignment="1"/>
  </cellXfs>
  <cellStyles count="1">
    <cellStyle name="Normal" xfId="0" builtinId="0"/>
  </cellStyles>
  <dxfs count="6"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174-434E-928C-E84B37DDCEDD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174-434E-928C-E84B37DDCEDD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174-434E-928C-E84B37DDCED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Resultados!$A$4:$A$6</c:f>
              <c:strCache>
                <c:ptCount val="3"/>
                <c:pt idx="0">
                  <c:v>Testes OK</c:v>
                </c:pt>
                <c:pt idx="1">
                  <c:v>Testes NOK</c:v>
                </c:pt>
                <c:pt idx="2">
                  <c:v>Testes não executados</c:v>
                </c:pt>
              </c:strCache>
            </c:strRef>
          </c:cat>
          <c:val>
            <c:numRef>
              <c:f>Resultados!$B$4:$B$6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74-434E-928C-E84B37DDC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7</xdr:row>
      <xdr:rowOff>180975</xdr:rowOff>
    </xdr:from>
    <xdr:to>
      <xdr:col>2</xdr:col>
      <xdr:colOff>1</xdr:colOff>
      <xdr:row>22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="90" zoomScaleNormal="90" workbookViewId="0">
      <selection activeCell="F11" sqref="F11"/>
    </sheetView>
  </sheetViews>
  <sheetFormatPr defaultRowHeight="15"/>
  <cols>
    <col min="1" max="1" width="27.28515625" style="1" customWidth="1"/>
    <col min="2" max="2" width="41.5703125" style="1" customWidth="1"/>
    <col min="3" max="4" width="9.140625" style="1" customWidth="1"/>
    <col min="5" max="5" width="12.85546875" style="1" customWidth="1"/>
    <col min="6" max="6" width="25.5703125" style="1" customWidth="1"/>
    <col min="7" max="7" width="61.85546875" style="1" customWidth="1"/>
    <col min="8" max="8" width="23" style="1" bestFit="1" customWidth="1"/>
    <col min="9" max="9" width="9.140625" style="1" customWidth="1"/>
    <col min="10" max="16384" width="9.140625" style="1"/>
  </cols>
  <sheetData>
    <row r="1" spans="1:7" ht="3.75" customHeight="1" thickBot="1"/>
    <row r="2" spans="1:7" ht="21" customHeight="1">
      <c r="A2" s="18" t="s">
        <v>0</v>
      </c>
      <c r="B2" s="2" t="s">
        <v>1</v>
      </c>
      <c r="E2" s="34" t="s">
        <v>2</v>
      </c>
      <c r="F2" s="36"/>
      <c r="G2" s="37"/>
    </row>
    <row r="3" spans="1:7" ht="15.75" customHeight="1">
      <c r="A3" s="18" t="s">
        <v>3</v>
      </c>
      <c r="B3" s="2" t="s">
        <v>4</v>
      </c>
      <c r="E3" s="20" t="s">
        <v>5</v>
      </c>
      <c r="F3" s="21" t="s">
        <v>6</v>
      </c>
      <c r="G3" s="22" t="s">
        <v>7</v>
      </c>
    </row>
    <row r="4" spans="1:7" ht="15.75" customHeight="1">
      <c r="A4" s="18" t="s">
        <v>8</v>
      </c>
      <c r="B4" s="2" t="s">
        <v>9</v>
      </c>
      <c r="E4" s="12" t="s">
        <v>10</v>
      </c>
      <c r="F4" s="5" t="s">
        <v>4</v>
      </c>
      <c r="G4" s="13" t="s">
        <v>11</v>
      </c>
    </row>
    <row r="5" spans="1:7" ht="15.75" customHeight="1">
      <c r="A5" s="18" t="s">
        <v>12</v>
      </c>
      <c r="B5" s="2" t="s">
        <v>10</v>
      </c>
      <c r="E5" s="12"/>
      <c r="F5" s="5"/>
      <c r="G5" s="13"/>
    </row>
    <row r="6" spans="1:7" ht="16.5" customHeight="1" thickBot="1">
      <c r="A6" s="19" t="s">
        <v>13</v>
      </c>
      <c r="B6" s="3" t="s">
        <v>14</v>
      </c>
      <c r="E6" s="14"/>
      <c r="F6" s="15"/>
      <c r="G6" s="16"/>
    </row>
  </sheetData>
  <mergeCells count="1">
    <mergeCell ref="E2:G2"/>
  </mergeCells>
  <pageMargins left="0.7" right="0.7" top="0.75" bottom="0.75" header="0.3" footer="0.3"/>
  <pageSetup orientation="portrait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showGridLines="0" zoomScale="90" zoomScaleNormal="90" workbookViewId="0">
      <pane ySplit="1" topLeftCell="A25" activePane="bottomLeft" state="frozen"/>
      <selection pane="bottomLeft" activeCell="E4" sqref="E4"/>
    </sheetView>
  </sheetViews>
  <sheetFormatPr defaultRowHeight="15"/>
  <cols>
    <col min="1" max="1" width="18" style="17" customWidth="1"/>
    <col min="2" max="2" width="20" style="17" bestFit="1" customWidth="1"/>
    <col min="3" max="3" width="38" style="17" customWidth="1"/>
    <col min="4" max="4" width="12" style="17" bestFit="1" customWidth="1"/>
    <col min="5" max="5" width="14" style="17" bestFit="1" customWidth="1"/>
    <col min="6" max="6" width="58" style="17" customWidth="1"/>
    <col min="7" max="7" width="66" style="17" customWidth="1"/>
    <col min="8" max="8" width="44" style="17" customWidth="1"/>
    <col min="9" max="9" width="10" style="17" bestFit="1" customWidth="1"/>
    <col min="10" max="10" width="48" style="17" customWidth="1"/>
    <col min="11" max="11" width="9.140625" style="4" customWidth="1"/>
    <col min="12" max="16384" width="9.140625" style="4"/>
  </cols>
  <sheetData>
    <row r="1" spans="1:10" ht="36" customHeight="1">
      <c r="A1" s="24" t="s">
        <v>15</v>
      </c>
      <c r="B1" s="23" t="s">
        <v>16</v>
      </c>
      <c r="C1" s="24" t="s">
        <v>17</v>
      </c>
      <c r="D1" s="24" t="s">
        <v>18</v>
      </c>
      <c r="E1" s="24" t="s">
        <v>19</v>
      </c>
      <c r="F1" s="24" t="s">
        <v>20</v>
      </c>
      <c r="G1" s="24" t="s">
        <v>21</v>
      </c>
      <c r="H1" s="24" t="s">
        <v>22</v>
      </c>
      <c r="I1" s="24" t="s">
        <v>23</v>
      </c>
      <c r="J1" s="25" t="s">
        <v>24</v>
      </c>
    </row>
    <row r="2" spans="1:10" ht="150" customHeight="1">
      <c r="A2" s="29" t="s">
        <v>25</v>
      </c>
      <c r="B2" s="29">
        <v>1</v>
      </c>
      <c r="C2" s="29" t="s">
        <v>26</v>
      </c>
      <c r="D2" s="29" t="s">
        <v>27</v>
      </c>
      <c r="E2" s="29" t="s">
        <v>28</v>
      </c>
      <c r="F2" s="30" t="s">
        <v>29</v>
      </c>
      <c r="G2" s="30" t="s">
        <v>30</v>
      </c>
      <c r="H2" s="30" t="s">
        <v>31</v>
      </c>
      <c r="I2" s="29" t="s">
        <v>32</v>
      </c>
      <c r="J2" s="29" t="s">
        <v>33</v>
      </c>
    </row>
    <row r="3" spans="1:10" ht="150" customHeight="1">
      <c r="A3" s="29" t="s">
        <v>25</v>
      </c>
      <c r="B3" s="29">
        <v>2</v>
      </c>
      <c r="C3" s="29" t="s">
        <v>34</v>
      </c>
      <c r="D3" s="29" t="s">
        <v>27</v>
      </c>
      <c r="E3" s="29" t="s">
        <v>28</v>
      </c>
      <c r="F3" s="30" t="s">
        <v>35</v>
      </c>
      <c r="G3" s="30" t="s">
        <v>36</v>
      </c>
      <c r="H3" s="30" t="s">
        <v>31</v>
      </c>
      <c r="I3" s="29" t="s">
        <v>32</v>
      </c>
      <c r="J3" s="29" t="s">
        <v>37</v>
      </c>
    </row>
    <row r="4" spans="1:10" ht="150" customHeight="1">
      <c r="A4" s="29" t="s">
        <v>38</v>
      </c>
      <c r="B4" s="29">
        <v>3</v>
      </c>
      <c r="C4" s="29" t="s">
        <v>39</v>
      </c>
      <c r="D4" s="29" t="s">
        <v>40</v>
      </c>
      <c r="E4" s="29" t="s">
        <v>28</v>
      </c>
      <c r="F4" s="30" t="s">
        <v>41</v>
      </c>
      <c r="G4" s="30" t="s">
        <v>42</v>
      </c>
      <c r="H4" s="30" t="s">
        <v>31</v>
      </c>
      <c r="I4" s="29" t="s">
        <v>32</v>
      </c>
      <c r="J4" s="29" t="s">
        <v>43</v>
      </c>
    </row>
    <row r="5" spans="1:10" ht="150" customHeight="1">
      <c r="A5" s="29" t="s">
        <v>44</v>
      </c>
      <c r="B5" s="29">
        <v>4</v>
      </c>
      <c r="C5" s="29" t="s">
        <v>45</v>
      </c>
      <c r="D5" s="29" t="s">
        <v>27</v>
      </c>
      <c r="E5" s="29" t="s">
        <v>28</v>
      </c>
      <c r="F5" s="30" t="s">
        <v>46</v>
      </c>
      <c r="G5" s="30" t="s">
        <v>47</v>
      </c>
      <c r="H5" s="30" t="s">
        <v>31</v>
      </c>
      <c r="I5" s="29" t="s">
        <v>32</v>
      </c>
      <c r="J5" s="29" t="s">
        <v>48</v>
      </c>
    </row>
    <row r="6" spans="1:10" ht="150" customHeight="1">
      <c r="A6" s="29" t="s">
        <v>49</v>
      </c>
      <c r="B6" s="29">
        <v>5</v>
      </c>
      <c r="C6" s="29" t="s">
        <v>50</v>
      </c>
      <c r="D6" s="29" t="s">
        <v>27</v>
      </c>
      <c r="E6" s="29" t="s">
        <v>28</v>
      </c>
      <c r="F6" s="30" t="s">
        <v>51</v>
      </c>
      <c r="G6" s="30" t="s">
        <v>52</v>
      </c>
      <c r="H6" s="30" t="s">
        <v>31</v>
      </c>
      <c r="I6" s="29" t="s">
        <v>32</v>
      </c>
      <c r="J6" s="29" t="s">
        <v>53</v>
      </c>
    </row>
    <row r="7" spans="1:10" ht="150" customHeight="1">
      <c r="A7" s="29" t="s">
        <v>54</v>
      </c>
      <c r="B7" s="29">
        <v>6</v>
      </c>
      <c r="C7" s="29" t="s">
        <v>55</v>
      </c>
      <c r="D7" s="29" t="s">
        <v>27</v>
      </c>
      <c r="E7" s="29" t="s">
        <v>28</v>
      </c>
      <c r="F7" s="30" t="s">
        <v>56</v>
      </c>
      <c r="G7" s="30" t="s">
        <v>57</v>
      </c>
      <c r="H7" s="30" t="s">
        <v>31</v>
      </c>
      <c r="I7" s="29" t="s">
        <v>32</v>
      </c>
      <c r="J7" s="29" t="s">
        <v>58</v>
      </c>
    </row>
    <row r="8" spans="1:10" ht="150" customHeight="1">
      <c r="A8" s="29" t="s">
        <v>59</v>
      </c>
      <c r="B8" s="29">
        <v>7</v>
      </c>
      <c r="C8" s="29" t="s">
        <v>60</v>
      </c>
      <c r="D8" s="29" t="s">
        <v>27</v>
      </c>
      <c r="E8" s="29" t="s">
        <v>28</v>
      </c>
      <c r="F8" s="30" t="s">
        <v>61</v>
      </c>
      <c r="G8" s="30" t="s">
        <v>62</v>
      </c>
      <c r="H8" s="30" t="s">
        <v>31</v>
      </c>
      <c r="I8" s="29" t="s">
        <v>32</v>
      </c>
      <c r="J8" s="29" t="s">
        <v>63</v>
      </c>
    </row>
    <row r="9" spans="1:10" ht="150" customHeight="1">
      <c r="A9" s="29" t="s">
        <v>64</v>
      </c>
      <c r="B9" s="29">
        <v>8</v>
      </c>
      <c r="C9" s="29" t="s">
        <v>65</v>
      </c>
      <c r="D9" s="29" t="s">
        <v>40</v>
      </c>
      <c r="E9" s="29" t="s">
        <v>28</v>
      </c>
      <c r="F9" s="30" t="s">
        <v>66</v>
      </c>
      <c r="G9" s="30" t="s">
        <v>67</v>
      </c>
      <c r="H9" s="30" t="s">
        <v>31</v>
      </c>
      <c r="I9" s="29" t="s">
        <v>32</v>
      </c>
      <c r="J9" s="29" t="s">
        <v>68</v>
      </c>
    </row>
    <row r="10" spans="1:10" ht="150" customHeight="1">
      <c r="A10" s="29" t="s">
        <v>69</v>
      </c>
      <c r="B10" s="29">
        <v>9</v>
      </c>
      <c r="C10" s="29" t="s">
        <v>70</v>
      </c>
      <c r="D10" s="29" t="s">
        <v>27</v>
      </c>
      <c r="E10" s="29" t="s">
        <v>28</v>
      </c>
      <c r="F10" s="30" t="s">
        <v>71</v>
      </c>
      <c r="G10" s="30" t="s">
        <v>72</v>
      </c>
      <c r="H10" s="30" t="s">
        <v>31</v>
      </c>
      <c r="I10" s="29" t="s">
        <v>32</v>
      </c>
      <c r="J10" s="29" t="s">
        <v>73</v>
      </c>
    </row>
    <row r="11" spans="1:10" ht="150" customHeight="1">
      <c r="A11" s="29" t="s">
        <v>74</v>
      </c>
      <c r="B11" s="29">
        <v>10</v>
      </c>
      <c r="C11" s="29" t="s">
        <v>75</v>
      </c>
      <c r="D11" s="29" t="s">
        <v>27</v>
      </c>
      <c r="E11" s="29" t="s">
        <v>28</v>
      </c>
      <c r="F11" s="30" t="s">
        <v>76</v>
      </c>
      <c r="G11" s="30" t="s">
        <v>77</v>
      </c>
      <c r="H11" s="30" t="s">
        <v>31</v>
      </c>
      <c r="I11" s="29" t="s">
        <v>32</v>
      </c>
      <c r="J11" s="29" t="s">
        <v>78</v>
      </c>
    </row>
    <row r="12" spans="1:10" ht="150" customHeight="1">
      <c r="A12" s="29" t="s">
        <v>74</v>
      </c>
      <c r="B12" s="29">
        <v>11</v>
      </c>
      <c r="C12" s="29" t="s">
        <v>79</v>
      </c>
      <c r="D12" s="29" t="s">
        <v>27</v>
      </c>
      <c r="E12" s="29" t="s">
        <v>28</v>
      </c>
      <c r="F12" s="30" t="s">
        <v>80</v>
      </c>
      <c r="G12" s="30" t="s">
        <v>81</v>
      </c>
      <c r="H12" s="30" t="s">
        <v>31</v>
      </c>
      <c r="I12" s="29" t="s">
        <v>32</v>
      </c>
      <c r="J12" s="29" t="s">
        <v>82</v>
      </c>
    </row>
    <row r="13" spans="1:10" ht="150" customHeight="1">
      <c r="A13" s="29" t="s">
        <v>83</v>
      </c>
      <c r="B13" s="29">
        <v>12</v>
      </c>
      <c r="C13" s="29" t="s">
        <v>84</v>
      </c>
      <c r="D13" s="29" t="s">
        <v>27</v>
      </c>
      <c r="E13" s="29" t="s">
        <v>28</v>
      </c>
      <c r="F13" s="30" t="s">
        <v>85</v>
      </c>
      <c r="G13" s="30" t="s">
        <v>86</v>
      </c>
      <c r="H13" s="30" t="s">
        <v>31</v>
      </c>
      <c r="I13" s="29" t="s">
        <v>32</v>
      </c>
      <c r="J13" s="29" t="s">
        <v>87</v>
      </c>
    </row>
    <row r="14" spans="1:10" ht="150" customHeight="1">
      <c r="A14" s="29" t="s">
        <v>88</v>
      </c>
      <c r="B14" s="29">
        <v>13</v>
      </c>
      <c r="C14" s="29" t="s">
        <v>89</v>
      </c>
      <c r="D14" s="29" t="s">
        <v>40</v>
      </c>
      <c r="E14" s="29" t="s">
        <v>28</v>
      </c>
      <c r="F14" s="30" t="s">
        <v>90</v>
      </c>
      <c r="G14" s="30" t="s">
        <v>91</v>
      </c>
      <c r="H14" s="30" t="s">
        <v>31</v>
      </c>
      <c r="I14" s="29" t="s">
        <v>32</v>
      </c>
      <c r="J14" s="29" t="s">
        <v>92</v>
      </c>
    </row>
    <row r="15" spans="1:10" ht="150" customHeight="1">
      <c r="A15" s="29" t="s">
        <v>38</v>
      </c>
      <c r="B15" s="29">
        <v>14</v>
      </c>
      <c r="C15" s="29" t="s">
        <v>93</v>
      </c>
      <c r="D15" s="29" t="s">
        <v>40</v>
      </c>
      <c r="E15" s="29" t="s">
        <v>28</v>
      </c>
      <c r="F15" s="30" t="s">
        <v>94</v>
      </c>
      <c r="G15" s="30" t="s">
        <v>95</v>
      </c>
      <c r="H15" s="30" t="s">
        <v>31</v>
      </c>
      <c r="I15" s="29" t="s">
        <v>32</v>
      </c>
      <c r="J15" s="29" t="s">
        <v>96</v>
      </c>
    </row>
    <row r="16" spans="1:10" ht="150" customHeight="1">
      <c r="A16" s="29" t="s">
        <v>97</v>
      </c>
      <c r="B16" s="29">
        <v>15</v>
      </c>
      <c r="C16" s="29" t="s">
        <v>98</v>
      </c>
      <c r="D16" s="29" t="s">
        <v>27</v>
      </c>
      <c r="E16" s="29" t="s">
        <v>28</v>
      </c>
      <c r="F16" s="30" t="s">
        <v>99</v>
      </c>
      <c r="G16" s="30" t="s">
        <v>100</v>
      </c>
      <c r="H16" s="30" t="s">
        <v>31</v>
      </c>
      <c r="I16" s="29" t="s">
        <v>32</v>
      </c>
      <c r="J16" s="29" t="s">
        <v>101</v>
      </c>
    </row>
    <row r="17" spans="1:10" ht="150" customHeight="1">
      <c r="A17" s="29" t="s">
        <v>102</v>
      </c>
      <c r="B17" s="29">
        <v>16</v>
      </c>
      <c r="C17" s="29" t="s">
        <v>103</v>
      </c>
      <c r="D17" s="29" t="s">
        <v>27</v>
      </c>
      <c r="E17" s="29" t="s">
        <v>28</v>
      </c>
      <c r="F17" s="30" t="s">
        <v>104</v>
      </c>
      <c r="G17" s="30" t="s">
        <v>105</v>
      </c>
      <c r="H17" s="30" t="s">
        <v>31</v>
      </c>
      <c r="I17" s="29" t="s">
        <v>32</v>
      </c>
      <c r="J17" s="29" t="s">
        <v>106</v>
      </c>
    </row>
    <row r="18" spans="1:10" ht="150" customHeight="1">
      <c r="A18" s="29" t="s">
        <v>102</v>
      </c>
      <c r="B18" s="29">
        <v>17</v>
      </c>
      <c r="C18" s="29" t="s">
        <v>107</v>
      </c>
      <c r="D18" s="29" t="s">
        <v>27</v>
      </c>
      <c r="E18" s="29" t="s">
        <v>28</v>
      </c>
      <c r="F18" s="30" t="s">
        <v>108</v>
      </c>
      <c r="G18" s="30" t="s">
        <v>109</v>
      </c>
      <c r="H18" s="30" t="s">
        <v>31</v>
      </c>
      <c r="I18" s="29" t="s">
        <v>32</v>
      </c>
      <c r="J18" s="29" t="s">
        <v>110</v>
      </c>
    </row>
    <row r="19" spans="1:10" ht="150" customHeight="1">
      <c r="A19" s="29" t="s">
        <v>102</v>
      </c>
      <c r="B19" s="29">
        <v>18</v>
      </c>
      <c r="C19" s="29" t="s">
        <v>111</v>
      </c>
      <c r="D19" s="29" t="s">
        <v>27</v>
      </c>
      <c r="E19" s="29" t="s">
        <v>28</v>
      </c>
      <c r="F19" s="30" t="s">
        <v>112</v>
      </c>
      <c r="G19" s="30" t="s">
        <v>113</v>
      </c>
      <c r="H19" s="30" t="s">
        <v>31</v>
      </c>
      <c r="I19" s="29" t="s">
        <v>32</v>
      </c>
      <c r="J19" s="29" t="s">
        <v>114</v>
      </c>
    </row>
    <row r="20" spans="1:10" ht="150" customHeight="1">
      <c r="A20" s="29" t="s">
        <v>102</v>
      </c>
      <c r="B20" s="29">
        <v>19</v>
      </c>
      <c r="C20" s="29" t="s">
        <v>115</v>
      </c>
      <c r="D20" s="29" t="s">
        <v>27</v>
      </c>
      <c r="E20" s="29" t="s">
        <v>28</v>
      </c>
      <c r="F20" s="30" t="s">
        <v>116</v>
      </c>
      <c r="G20" s="30" t="s">
        <v>117</v>
      </c>
      <c r="H20" s="30" t="s">
        <v>31</v>
      </c>
      <c r="I20" s="29" t="s">
        <v>32</v>
      </c>
      <c r="J20" s="29" t="s">
        <v>118</v>
      </c>
    </row>
    <row r="21" spans="1:10" ht="150" customHeight="1">
      <c r="A21" s="29" t="s">
        <v>119</v>
      </c>
      <c r="B21" s="29">
        <v>20</v>
      </c>
      <c r="C21" s="29" t="s">
        <v>120</v>
      </c>
      <c r="D21" s="29" t="s">
        <v>40</v>
      </c>
      <c r="E21" s="29" t="s">
        <v>28</v>
      </c>
      <c r="F21" s="30" t="s">
        <v>121</v>
      </c>
      <c r="G21" s="30" t="s">
        <v>122</v>
      </c>
      <c r="H21" s="30" t="s">
        <v>31</v>
      </c>
      <c r="I21" s="29" t="s">
        <v>32</v>
      </c>
      <c r="J21" s="29" t="s">
        <v>123</v>
      </c>
    </row>
    <row r="22" spans="1:10" ht="150" customHeight="1">
      <c r="A22" s="29" t="s">
        <v>119</v>
      </c>
      <c r="B22" s="29">
        <v>21</v>
      </c>
      <c r="C22" s="29" t="s">
        <v>124</v>
      </c>
      <c r="D22" s="29" t="s">
        <v>40</v>
      </c>
      <c r="E22" s="29" t="s">
        <v>28</v>
      </c>
      <c r="F22" s="30" t="s">
        <v>125</v>
      </c>
      <c r="G22" s="30" t="s">
        <v>126</v>
      </c>
      <c r="H22" s="30" t="s">
        <v>31</v>
      </c>
      <c r="I22" s="29" t="s">
        <v>32</v>
      </c>
      <c r="J22" s="29" t="s">
        <v>127</v>
      </c>
    </row>
    <row r="23" spans="1:10" ht="150" customHeight="1">
      <c r="A23" s="29" t="s">
        <v>128</v>
      </c>
      <c r="B23" s="29">
        <v>22</v>
      </c>
      <c r="C23" s="29" t="s">
        <v>129</v>
      </c>
      <c r="D23" s="29" t="s">
        <v>40</v>
      </c>
      <c r="E23" s="29" t="s">
        <v>28</v>
      </c>
      <c r="F23" s="30" t="s">
        <v>130</v>
      </c>
      <c r="G23" s="30" t="s">
        <v>131</v>
      </c>
      <c r="H23" s="30" t="s">
        <v>31</v>
      </c>
      <c r="I23" s="29" t="s">
        <v>32</v>
      </c>
      <c r="J23" s="29" t="s">
        <v>132</v>
      </c>
    </row>
    <row r="24" spans="1:10" ht="150" customHeight="1">
      <c r="A24" s="29" t="s">
        <v>133</v>
      </c>
      <c r="B24" s="29">
        <v>23</v>
      </c>
      <c r="C24" s="29" t="s">
        <v>134</v>
      </c>
      <c r="D24" s="29" t="s">
        <v>40</v>
      </c>
      <c r="E24" s="29" t="s">
        <v>28</v>
      </c>
      <c r="F24" s="30" t="s">
        <v>135</v>
      </c>
      <c r="G24" s="30" t="s">
        <v>136</v>
      </c>
      <c r="H24" s="30" t="s">
        <v>31</v>
      </c>
      <c r="I24" s="29" t="s">
        <v>32</v>
      </c>
      <c r="J24" s="29" t="s">
        <v>137</v>
      </c>
    </row>
    <row r="25" spans="1:10" ht="150" customHeight="1">
      <c r="A25" s="29" t="s">
        <v>69</v>
      </c>
      <c r="B25" s="29">
        <v>24</v>
      </c>
      <c r="C25" s="29" t="s">
        <v>138</v>
      </c>
      <c r="D25" s="29" t="s">
        <v>27</v>
      </c>
      <c r="E25" s="29" t="s">
        <v>28</v>
      </c>
      <c r="F25" s="30" t="s">
        <v>139</v>
      </c>
      <c r="G25" s="30" t="s">
        <v>140</v>
      </c>
      <c r="H25" s="30" t="s">
        <v>31</v>
      </c>
      <c r="I25" s="29" t="s">
        <v>32</v>
      </c>
      <c r="J25" s="29" t="s">
        <v>141</v>
      </c>
    </row>
    <row r="26" spans="1:10" ht="150" customHeight="1">
      <c r="A26" s="29" t="s">
        <v>69</v>
      </c>
      <c r="B26" s="29">
        <v>25</v>
      </c>
      <c r="C26" s="29" t="s">
        <v>142</v>
      </c>
      <c r="D26" s="29" t="s">
        <v>27</v>
      </c>
      <c r="E26" s="29" t="s">
        <v>28</v>
      </c>
      <c r="F26" s="30" t="s">
        <v>143</v>
      </c>
      <c r="G26" s="30" t="s">
        <v>144</v>
      </c>
      <c r="H26" s="30" t="s">
        <v>31</v>
      </c>
      <c r="I26" s="29" t="s">
        <v>32</v>
      </c>
      <c r="J26" s="29" t="s">
        <v>145</v>
      </c>
    </row>
    <row r="27" spans="1:10" ht="150" customHeight="1">
      <c r="A27" s="29" t="s">
        <v>146</v>
      </c>
      <c r="B27" s="29">
        <v>26</v>
      </c>
      <c r="C27" s="29" t="s">
        <v>147</v>
      </c>
      <c r="D27" s="29" t="s">
        <v>27</v>
      </c>
      <c r="E27" s="29" t="s">
        <v>28</v>
      </c>
      <c r="F27" s="30" t="s">
        <v>148</v>
      </c>
      <c r="G27" s="30" t="s">
        <v>149</v>
      </c>
      <c r="H27" s="30" t="s">
        <v>31</v>
      </c>
      <c r="I27" s="29" t="s">
        <v>32</v>
      </c>
      <c r="J27" s="29" t="s">
        <v>150</v>
      </c>
    </row>
    <row r="28" spans="1:10" ht="150" customHeight="1">
      <c r="A28" s="29" t="s">
        <v>146</v>
      </c>
      <c r="B28" s="29">
        <v>27</v>
      </c>
      <c r="C28" s="29" t="s">
        <v>151</v>
      </c>
      <c r="D28" s="29" t="s">
        <v>27</v>
      </c>
      <c r="E28" s="29" t="s">
        <v>28</v>
      </c>
      <c r="F28" s="30" t="s">
        <v>152</v>
      </c>
      <c r="G28" s="30" t="s">
        <v>153</v>
      </c>
      <c r="H28" s="30" t="s">
        <v>31</v>
      </c>
      <c r="I28" s="29" t="s">
        <v>32</v>
      </c>
      <c r="J28" s="29" t="s">
        <v>154</v>
      </c>
    </row>
  </sheetData>
  <autoFilter ref="A1:J28" xr:uid="{00000000-0009-0000-0000-000001000000}"/>
  <conditionalFormatting sqref="I2:I5 I7:I8 I10:I1500">
    <cfRule type="cellIs" dxfId="5" priority="5" operator="equal">
      <formula>"NOK"</formula>
    </cfRule>
    <cfRule type="cellIs" dxfId="4" priority="6" operator="equal">
      <formula>"OK"</formula>
    </cfRule>
  </conditionalFormatting>
  <conditionalFormatting sqref="I9">
    <cfRule type="cellIs" dxfId="3" priority="3" operator="equal">
      <formula>"NOK"</formula>
    </cfRule>
    <cfRule type="cellIs" dxfId="2" priority="4" operator="equal">
      <formula>"OK"</formula>
    </cfRule>
  </conditionalFormatting>
  <conditionalFormatting sqref="I6">
    <cfRule type="cellIs" dxfId="1" priority="1" operator="equal">
      <formula>"NOK"</formula>
    </cfRule>
    <cfRule type="cellIs" dxfId="0" priority="2" operator="equal">
      <formula>"OK"</formula>
    </cfRule>
  </conditionalFormatting>
  <dataValidations count="1">
    <dataValidation type="list" allowBlank="1" showInputMessage="1" showErrorMessage="1" sqref="I2:I1500" xr:uid="{00000000-0002-0000-0100-000000000000}">
      <formula1>"-,OK,NOK"</formula1>
    </dataValidation>
  </dataValidations>
  <pageMargins left="0.7" right="0.7" top="0.75" bottom="0.75" header="0.3" footer="0.3"/>
  <pageSetup orientation="portrait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93"/>
  <sheetViews>
    <sheetView workbookViewId="0">
      <pane ySplit="2" topLeftCell="A3" activePane="bottomLeft" state="frozen"/>
      <selection pane="bottomLeft" activeCell="A18" sqref="A18"/>
    </sheetView>
  </sheetViews>
  <sheetFormatPr defaultColWidth="115" defaultRowHeight="15"/>
  <cols>
    <col min="1" max="1" width="115" style="1" customWidth="1"/>
    <col min="2" max="16384" width="115" style="1"/>
  </cols>
  <sheetData>
    <row r="1" spans="1:1" ht="30" customHeight="1">
      <c r="A1" s="32" t="s">
        <v>155</v>
      </c>
    </row>
    <row r="2" spans="1:1" ht="36" customHeight="1">
      <c r="A2" s="33" t="s">
        <v>156</v>
      </c>
    </row>
    <row r="3" spans="1:1" ht="36" customHeight="1">
      <c r="A3" s="31" t="s">
        <v>157</v>
      </c>
    </row>
    <row r="18" spans="1:1" ht="36" customHeight="1">
      <c r="A18" s="31" t="s">
        <v>158</v>
      </c>
    </row>
    <row r="33" spans="1:1" ht="36" customHeight="1">
      <c r="A33" s="31" t="s">
        <v>159</v>
      </c>
    </row>
    <row r="48" spans="1:1" ht="36" customHeight="1">
      <c r="A48" s="31" t="s">
        <v>160</v>
      </c>
    </row>
    <row r="63" spans="1:1" ht="36" customHeight="1">
      <c r="A63" s="31" t="s">
        <v>161</v>
      </c>
    </row>
    <row r="78" spans="1:1" ht="36" customHeight="1">
      <c r="A78" s="31" t="s">
        <v>162</v>
      </c>
    </row>
    <row r="93" spans="1:1" ht="36" customHeight="1">
      <c r="A93" s="31" t="s">
        <v>163</v>
      </c>
    </row>
    <row r="108" spans="1:1" ht="36" customHeight="1">
      <c r="A108" s="31" t="s">
        <v>164</v>
      </c>
    </row>
    <row r="123" spans="1:1" ht="36" customHeight="1">
      <c r="A123" s="31" t="s">
        <v>165</v>
      </c>
    </row>
    <row r="138" spans="1:1" ht="36" customHeight="1">
      <c r="A138" s="31" t="s">
        <v>166</v>
      </c>
    </row>
    <row r="153" spans="1:1" ht="36" customHeight="1">
      <c r="A153" s="31" t="s">
        <v>167</v>
      </c>
    </row>
    <row r="168" spans="1:1" ht="36" customHeight="1">
      <c r="A168" s="31" t="s">
        <v>168</v>
      </c>
    </row>
    <row r="183" spans="1:1" ht="36" customHeight="1">
      <c r="A183" s="31" t="s">
        <v>169</v>
      </c>
    </row>
    <row r="198" spans="1:1" ht="36" customHeight="1">
      <c r="A198" s="31" t="s">
        <v>170</v>
      </c>
    </row>
    <row r="213" spans="1:1" ht="36" customHeight="1">
      <c r="A213" s="31" t="s">
        <v>171</v>
      </c>
    </row>
    <row r="228" spans="1:1" ht="36" customHeight="1">
      <c r="A228" s="31" t="s">
        <v>172</v>
      </c>
    </row>
    <row r="243" spans="1:1" ht="36" customHeight="1">
      <c r="A243" s="31" t="s">
        <v>173</v>
      </c>
    </row>
    <row r="258" spans="1:1" ht="36" customHeight="1">
      <c r="A258" s="31" t="s">
        <v>174</v>
      </c>
    </row>
    <row r="273" spans="1:1" ht="36" customHeight="1">
      <c r="A273" s="31" t="s">
        <v>175</v>
      </c>
    </row>
    <row r="288" spans="1:1" ht="36" customHeight="1">
      <c r="A288" s="31" t="s">
        <v>176</v>
      </c>
    </row>
    <row r="303" spans="1:1" ht="36" customHeight="1">
      <c r="A303" s="31" t="s">
        <v>177</v>
      </c>
    </row>
    <row r="318" spans="1:1" ht="36" customHeight="1">
      <c r="A318" s="31" t="s">
        <v>178</v>
      </c>
    </row>
    <row r="333" spans="1:1" ht="36" customHeight="1">
      <c r="A333" s="31" t="s">
        <v>179</v>
      </c>
    </row>
    <row r="348" spans="1:1" ht="36" customHeight="1">
      <c r="A348" s="31" t="s">
        <v>180</v>
      </c>
    </row>
    <row r="363" spans="1:1" ht="36" customHeight="1">
      <c r="A363" s="31" t="s">
        <v>181</v>
      </c>
    </row>
    <row r="378" spans="1:1" ht="36" customHeight="1">
      <c r="A378" s="31" t="s">
        <v>182</v>
      </c>
    </row>
    <row r="393" spans="1:1" ht="36" customHeight="1">
      <c r="A393" s="31" t="s">
        <v>183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A4" sqref="A4"/>
    </sheetView>
  </sheetViews>
  <sheetFormatPr defaultRowHeight="15"/>
  <cols>
    <col min="1" max="2" width="29.7109375" style="1" customWidth="1"/>
    <col min="3" max="3" width="36.28515625" style="1" bestFit="1" customWidth="1"/>
    <col min="4" max="4" width="9.140625" style="1" customWidth="1"/>
    <col min="5" max="16384" width="9.140625" style="1"/>
  </cols>
  <sheetData>
    <row r="1" spans="1:3" ht="15.75" customHeight="1" thickBot="1"/>
    <row r="2" spans="1:3" ht="27" customHeight="1" thickBot="1">
      <c r="A2" s="35" t="s">
        <v>184</v>
      </c>
      <c r="B2" s="38"/>
      <c r="C2" s="39"/>
    </row>
    <row r="3" spans="1:3" ht="15.75" customHeight="1">
      <c r="A3" s="26" t="s">
        <v>185</v>
      </c>
      <c r="B3" s="6">
        <f>COUNTA('Cenários e Casos de Teste'!A:A)-1</f>
        <v>27</v>
      </c>
      <c r="C3" s="9">
        <v>1</v>
      </c>
    </row>
    <row r="4" spans="1:3" ht="15.75" customHeight="1">
      <c r="A4" s="27" t="s">
        <v>186</v>
      </c>
      <c r="B4" s="7">
        <f>COUNTIF('Cenários e Casos de Teste'!I:I,"OK")</f>
        <v>0</v>
      </c>
      <c r="C4" s="10">
        <f>B4/B3</f>
        <v>0</v>
      </c>
    </row>
    <row r="5" spans="1:3" ht="15.75" customHeight="1">
      <c r="A5" s="27" t="s">
        <v>187</v>
      </c>
      <c r="B5" s="7">
        <f>COUNTIF('Cenários e Casos de Teste'!I:I,"NOK")</f>
        <v>0</v>
      </c>
      <c r="C5" s="10">
        <f>B5/B3</f>
        <v>0</v>
      </c>
    </row>
    <row r="6" spans="1:3" ht="16.5" customHeight="1" thickBot="1">
      <c r="A6" s="28" t="s">
        <v>188</v>
      </c>
      <c r="B6" s="8">
        <f>B3-B4-B5</f>
        <v>27</v>
      </c>
      <c r="C6" s="11">
        <f>B6/B3</f>
        <v>1</v>
      </c>
    </row>
  </sheetData>
  <mergeCells count="1">
    <mergeCell ref="A2:C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2006-09-16T00:00:00Z</dcterms:created>
  <dcterms:modified xsi:type="dcterms:W3CDTF">2026-09-23T21:50:50Z</dcterms:modified>
  <cp:category/>
  <cp:contentStatus/>
</cp:coreProperties>
</file>